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UDIT\"/>
    </mc:Choice>
  </mc:AlternateContent>
  <xr:revisionPtr revIDLastSave="0" documentId="13_ncr:1_{409B5D5D-BB2D-492A-AE43-78F58C88196B}" xr6:coauthVersionLast="47" xr6:coauthVersionMax="47" xr10:uidLastSave="{00000000-0000-0000-0000-000000000000}"/>
  <bookViews>
    <workbookView xWindow="-108" yWindow="-108" windowWidth="23256" windowHeight="13176" xr2:uid="{F1A7E418-A804-4C92-A6D0-A49A932A5760}"/>
  </bookViews>
  <sheets>
    <sheet name="Monthly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E7" i="1" s="1"/>
  <c r="E12" i="1"/>
  <c r="E11" i="1"/>
  <c r="E10" i="1"/>
  <c r="E9" i="1"/>
  <c r="E8" i="1"/>
  <c r="E6" i="1"/>
  <c r="O23" i="1"/>
  <c r="O22" i="1"/>
  <c r="J26" i="1"/>
  <c r="J25" i="1"/>
  <c r="J24" i="1"/>
  <c r="J23" i="1"/>
  <c r="J22" i="1"/>
  <c r="J21" i="1"/>
  <c r="J20" i="1"/>
  <c r="Q8" i="1"/>
  <c r="Q7" i="1"/>
  <c r="Q6" i="1"/>
  <c r="Q5" i="1"/>
  <c r="Q11" i="1"/>
  <c r="Q10" i="1"/>
  <c r="Q9" i="1"/>
  <c r="J11" i="1"/>
  <c r="J10" i="1"/>
  <c r="J8" i="1"/>
  <c r="J9" i="1"/>
  <c r="J7" i="1"/>
  <c r="J6" i="1"/>
  <c r="J5" i="1"/>
  <c r="E13" i="1" l="1"/>
  <c r="E14" i="1" s="1"/>
  <c r="J12" i="1"/>
  <c r="J13" i="1" s="1"/>
  <c r="J27" i="1"/>
  <c r="J29" i="1" s="1"/>
  <c r="J28" i="1"/>
  <c r="Q12" i="1"/>
  <c r="Q13" i="1" s="1"/>
  <c r="E15" i="1" l="1"/>
  <c r="L16" i="1"/>
  <c r="J14" i="1"/>
  <c r="Q14" i="1"/>
</calcChain>
</file>

<file path=xl/sharedStrings.xml><?xml version="1.0" encoding="utf-8"?>
<sst xmlns="http://schemas.openxmlformats.org/spreadsheetml/2006/main" count="63" uniqueCount="17">
  <si>
    <t>Rent</t>
  </si>
  <si>
    <t>ITEM</t>
  </si>
  <si>
    <t>PRICE</t>
  </si>
  <si>
    <t>NOTE</t>
  </si>
  <si>
    <t>TOTAL</t>
  </si>
  <si>
    <t>Transpo</t>
  </si>
  <si>
    <t>Food</t>
  </si>
  <si>
    <t>Laundry</t>
  </si>
  <si>
    <t>WIFI</t>
  </si>
  <si>
    <t>SOLO near</t>
  </si>
  <si>
    <t>Min</t>
  </si>
  <si>
    <t>Max</t>
  </si>
  <si>
    <t>SHARED near</t>
  </si>
  <si>
    <t>Water</t>
  </si>
  <si>
    <t>Utility</t>
  </si>
  <si>
    <t>SOLO far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</si>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</sst>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BD929-21C7-47FD-8661-65A5289E7AE2}" name="Table3" displayName="Table3" ref="G4:J14" totalsRowShown="0">
  <autoFilter ref="G4:J14" xr:uid="{A6DBD929-21C7-47FD-8661-65A5289E7AE2}"/>
  <tableColumns count="4">
    <tableColumn id="1" xr3:uid="{ED2608E5-F6F5-4C49-98C8-AC2CC31B837F}" name="ITEM"/>
    <tableColumn id="2" xr3:uid="{C3B77691-670E-4BF7-9651-3123372BD604}" name="PRICE"/>
    <tableColumn id="3" xr3:uid="{CAB4F4A3-66DD-49B7-B4B9-CADBFECE0A6E}" name="NOTE" dataDxfId="7"/>
    <tableColumn id="4" xr3:uid="{EAF483D7-971A-4374-B3AA-6E03AD72A9D7}" name="TOTAL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16DC44-55F3-456D-A821-2D1332A7EC65}" name="Table4" displayName="Table4" ref="N4:Q14" totalsRowShown="0">
  <autoFilter ref="N4:Q14" xr:uid="{9116DC44-55F3-456D-A821-2D1332A7EC65}"/>
  <tableColumns count="4">
    <tableColumn id="1" xr3:uid="{5E846F70-23CC-4F05-BC83-B1A7C41E21F5}" name="ITEM"/>
    <tableColumn id="2" xr3:uid="{D68D9CE0-85B5-4317-8DE6-DA980E21C530}" name="PRICE"/>
    <tableColumn id="3" xr3:uid="{03AE8A5C-D205-4923-9403-0D0B36A68CA5}" name="NOTE" dataDxfId="5"/>
    <tableColumn id="4" xr3:uid="{FE3F6EC5-A962-4DAB-9FF2-A9C3D8377A77}" name="TOTAL" dataDxfId="4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E0FEC2-9A13-4C4B-B969-94A97166A24B}" name="Table5" displayName="Table5" ref="G19:J29" totalsRowShown="0">
  <autoFilter ref="G19:J29" xr:uid="{3FE0FEC2-9A13-4C4B-B969-94A97166A24B}"/>
  <tableColumns count="4">
    <tableColumn id="1" xr3:uid="{4AEADAF0-D565-43B3-B574-030C101F8458}" name="ITEM"/>
    <tableColumn id="2" xr3:uid="{34CB58EB-D513-4AEE-8CAF-E030CD6171F1}" name="PRICE"/>
    <tableColumn id="3" xr3:uid="{A6562059-9024-44ED-A99F-2D975927D2A3}" name="NOTE" dataDxfId="3"/>
    <tableColumn id="4" xr3:uid="{A3A50D7D-1BCD-4880-90FF-3FA25D24CA83}" name="TOTAL" dataDxfId="2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E82D5-A08A-4BC5-8635-A63B135D1BBA}" name="Table32" displayName="Table32" ref="B5:E15" totalsRowShown="0">
  <autoFilter ref="B5:E15" xr:uid="{CEBE82D5-A08A-4BC5-8635-A63B135D1BBA}"/>
  <tableColumns count="4">
    <tableColumn id="1" xr3:uid="{5D1603D0-D2F2-4491-9268-F1552277E57C}" name="ITEM"/>
    <tableColumn id="2" xr3:uid="{5C42AA93-EE18-4D57-87AB-3445385B884A}" name="PRICE"/>
    <tableColumn id="3" xr3:uid="{C25DF64F-01C2-4E4D-B696-A02EDBBE3331}" name="NOTE" dataDxfId="1"/>
    <tableColumn id="4" xr3:uid="{B8D01671-CBD9-4C52-BBFF-D11C5A347AD3}" name="TOTA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8C5-6A0C-4221-9035-942765008DC1}">
  <dimension ref="A1:Q29"/>
  <sheetViews>
    <sheetView tabSelected="1" zoomScale="107" workbookViewId="0">
      <selection activeCell="C12" sqref="C12"/>
    </sheetView>
  </sheetViews>
  <sheetFormatPr defaultRowHeight="14.4" x14ac:dyDescent="0.3"/>
  <cols>
    <col min="9" max="9" width="11.77734375" customWidth="1"/>
  </cols>
  <sheetData>
    <row r="1" spans="1:17" x14ac:dyDescent="0.3">
      <c r="F1" t="s">
        <v>10</v>
      </c>
      <c r="G1">
        <v>25000</v>
      </c>
    </row>
    <row r="2" spans="1:17" x14ac:dyDescent="0.3">
      <c r="F2" t="s">
        <v>11</v>
      </c>
      <c r="G2">
        <v>30000</v>
      </c>
    </row>
    <row r="3" spans="1:17" x14ac:dyDescent="0.3">
      <c r="A3" s="3"/>
      <c r="B3" s="3"/>
      <c r="G3" s="1" t="s">
        <v>9</v>
      </c>
      <c r="H3" s="1"/>
      <c r="M3" s="3" t="s">
        <v>12</v>
      </c>
      <c r="N3" s="3"/>
    </row>
    <row r="4" spans="1:17" ht="14.4" customHeight="1" x14ac:dyDescent="0.3">
      <c r="A4" s="3" t="s">
        <v>9</v>
      </c>
      <c r="B4" s="3"/>
      <c r="G4" t="s">
        <v>1</v>
      </c>
      <c r="H4" t="s">
        <v>2</v>
      </c>
      <c r="I4" t="s">
        <v>3</v>
      </c>
      <c r="J4" t="s">
        <v>4</v>
      </c>
      <c r="N4" t="s">
        <v>1</v>
      </c>
      <c r="O4" t="s">
        <v>2</v>
      </c>
      <c r="P4" t="s">
        <v>3</v>
      </c>
      <c r="Q4" t="s">
        <v>4</v>
      </c>
    </row>
    <row r="5" spans="1:17" ht="14.4" customHeight="1" x14ac:dyDescent="0.3">
      <c r="B5" t="s">
        <v>1</v>
      </c>
      <c r="C5" t="s">
        <v>2</v>
      </c>
      <c r="D5" t="s">
        <v>3</v>
      </c>
      <c r="E5" t="s">
        <v>4</v>
      </c>
      <c r="G5" t="s">
        <v>0</v>
      </c>
      <c r="H5">
        <v>7500</v>
      </c>
      <c r="J5">
        <f>H5</f>
        <v>7500</v>
      </c>
      <c r="N5" t="s">
        <v>0</v>
      </c>
      <c r="O5">
        <v>7500</v>
      </c>
      <c r="Q5">
        <f>O5</f>
        <v>7500</v>
      </c>
    </row>
    <row r="6" spans="1:17" ht="14.4" customHeight="1" x14ac:dyDescent="0.3">
      <c r="B6" t="s">
        <v>0</v>
      </c>
      <c r="C6">
        <v>8000</v>
      </c>
      <c r="E6">
        <f>C6</f>
        <v>8000</v>
      </c>
      <c r="G6" t="s">
        <v>5</v>
      </c>
      <c r="H6">
        <v>1320</v>
      </c>
      <c r="J6">
        <f>H6</f>
        <v>1320</v>
      </c>
      <c r="N6" t="s">
        <v>5</v>
      </c>
      <c r="O6">
        <v>0</v>
      </c>
      <c r="Q6">
        <f>O6</f>
        <v>0</v>
      </c>
    </row>
    <row r="7" spans="1:17" ht="14.4" customHeight="1" x14ac:dyDescent="0.3">
      <c r="B7" t="s">
        <v>5</v>
      </c>
      <c r="C7">
        <f>1320/2</f>
        <v>660</v>
      </c>
      <c r="E7">
        <f>C7</f>
        <v>660</v>
      </c>
      <c r="G7" t="s">
        <v>6</v>
      </c>
      <c r="H7">
        <v>8000</v>
      </c>
      <c r="J7">
        <f>H7</f>
        <v>8000</v>
      </c>
      <c r="N7" t="s">
        <v>6</v>
      </c>
      <c r="O7">
        <v>8000</v>
      </c>
      <c r="Q7">
        <f>O7</f>
        <v>8000</v>
      </c>
    </row>
    <row r="8" spans="1:17" ht="14.4" customHeight="1" x14ac:dyDescent="0.3">
      <c r="B8" t="s">
        <v>6</v>
      </c>
      <c r="C8">
        <v>8000</v>
      </c>
      <c r="E8">
        <f>C8</f>
        <v>8000</v>
      </c>
      <c r="G8" t="s">
        <v>7</v>
      </c>
      <c r="H8">
        <v>600</v>
      </c>
      <c r="J8">
        <f t="shared" ref="J8:J11" si="0">H8</f>
        <v>600</v>
      </c>
      <c r="N8" t="s">
        <v>7</v>
      </c>
      <c r="O8">
        <v>0</v>
      </c>
      <c r="Q8">
        <f t="shared" ref="Q8" si="1">O8</f>
        <v>0</v>
      </c>
    </row>
    <row r="9" spans="1:17" ht="14.4" customHeight="1" x14ac:dyDescent="0.3">
      <c r="B9" t="s">
        <v>7</v>
      </c>
      <c r="C9">
        <v>600</v>
      </c>
      <c r="E9">
        <f t="shared" ref="E9:E12" si="2">C9</f>
        <v>600</v>
      </c>
      <c r="G9" t="s">
        <v>8</v>
      </c>
      <c r="H9">
        <v>1000</v>
      </c>
      <c r="J9">
        <f t="shared" si="0"/>
        <v>1000</v>
      </c>
      <c r="N9" t="s">
        <v>8</v>
      </c>
      <c r="O9">
        <v>500</v>
      </c>
      <c r="Q9">
        <f t="shared" ref="Q9:Q11" si="3">O9</f>
        <v>500</v>
      </c>
    </row>
    <row r="10" spans="1:17" ht="14.4" customHeight="1" x14ac:dyDescent="0.3">
      <c r="B10" t="s">
        <v>8</v>
      </c>
      <c r="C10">
        <v>1000</v>
      </c>
      <c r="E10">
        <f t="shared" si="2"/>
        <v>1000</v>
      </c>
      <c r="G10" t="s">
        <v>13</v>
      </c>
      <c r="H10">
        <v>300</v>
      </c>
      <c r="J10">
        <f t="shared" si="0"/>
        <v>300</v>
      </c>
      <c r="N10" t="s">
        <v>13</v>
      </c>
      <c r="O10">
        <v>300</v>
      </c>
      <c r="Q10">
        <f t="shared" si="3"/>
        <v>300</v>
      </c>
    </row>
    <row r="11" spans="1:17" ht="14.4" customHeight="1" x14ac:dyDescent="0.3">
      <c r="B11" t="s">
        <v>13</v>
      </c>
      <c r="C11">
        <v>300</v>
      </c>
      <c r="E11">
        <f t="shared" si="2"/>
        <v>300</v>
      </c>
      <c r="G11" t="s">
        <v>14</v>
      </c>
      <c r="H11">
        <v>600</v>
      </c>
      <c r="J11">
        <f t="shared" si="0"/>
        <v>600</v>
      </c>
      <c r="N11" t="s">
        <v>14</v>
      </c>
      <c r="O11">
        <v>400</v>
      </c>
      <c r="Q11">
        <f t="shared" si="3"/>
        <v>400</v>
      </c>
    </row>
    <row r="12" spans="1:17" ht="14.4" customHeight="1" x14ac:dyDescent="0.3">
      <c r="B12" t="s">
        <v>14</v>
      </c>
      <c r="C12">
        <v>600</v>
      </c>
      <c r="E12">
        <f t="shared" si="2"/>
        <v>600</v>
      </c>
      <c r="I12" s="2" t="s">
        <v>4</v>
      </c>
      <c r="J12" s="2">
        <f>SUM(J5:J11)</f>
        <v>19320</v>
      </c>
      <c r="P12" s="2" t="s">
        <v>4</v>
      </c>
      <c r="Q12" s="2">
        <f>SUM(Q5:Q11)</f>
        <v>16700</v>
      </c>
    </row>
    <row r="13" spans="1:17" ht="14.4" customHeight="1" x14ac:dyDescent="0.3">
      <c r="D13" s="2" t="s">
        <v>4</v>
      </c>
      <c r="E13" s="2">
        <f>SUM(E6:E12)</f>
        <v>19160</v>
      </c>
      <c r="I13" s="2" t="s">
        <v>10</v>
      </c>
      <c r="J13" s="2">
        <f>$G$1-J12</f>
        <v>5680</v>
      </c>
      <c r="P13" s="2" t="s">
        <v>10</v>
      </c>
      <c r="Q13" s="2">
        <f>$G$1-Q12</f>
        <v>8300</v>
      </c>
    </row>
    <row r="14" spans="1:17" ht="14.4" customHeight="1" x14ac:dyDescent="0.3">
      <c r="D14" s="2" t="s">
        <v>10</v>
      </c>
      <c r="E14" s="2">
        <f>$G$1-E13</f>
        <v>5840</v>
      </c>
      <c r="I14" s="2" t="s">
        <v>11</v>
      </c>
      <c r="J14" s="2">
        <f>$G$2-J12</f>
        <v>10680</v>
      </c>
      <c r="P14" s="2" t="s">
        <v>11</v>
      </c>
      <c r="Q14" s="2">
        <f>$G$2-Q12</f>
        <v>13300</v>
      </c>
    </row>
    <row r="15" spans="1:17" x14ac:dyDescent="0.3">
      <c r="D15" s="2" t="s">
        <v>11</v>
      </c>
      <c r="E15" s="2">
        <f>$G$2-E13</f>
        <v>10840</v>
      </c>
      <c r="L15" t="s">
        <v>16</v>
      </c>
    </row>
    <row r="16" spans="1:17" x14ac:dyDescent="0.3">
      <c r="L16">
        <f>Q13-J13</f>
        <v>2620</v>
      </c>
    </row>
    <row r="18" spans="6:15" x14ac:dyDescent="0.3">
      <c r="F18" s="3" t="s">
        <v>15</v>
      </c>
      <c r="G18" s="3"/>
    </row>
    <row r="19" spans="6:15" x14ac:dyDescent="0.3">
      <c r="G19" t="s">
        <v>1</v>
      </c>
      <c r="H19" t="s">
        <v>2</v>
      </c>
      <c r="I19" t="s">
        <v>3</v>
      </c>
      <c r="J19" t="s">
        <v>4</v>
      </c>
    </row>
    <row r="20" spans="6:15" x14ac:dyDescent="0.3">
      <c r="G20" t="s">
        <v>0</v>
      </c>
      <c r="H20">
        <v>7500</v>
      </c>
      <c r="J20">
        <f>H20</f>
        <v>7500</v>
      </c>
    </row>
    <row r="21" spans="6:15" x14ac:dyDescent="0.3">
      <c r="G21" t="s">
        <v>5</v>
      </c>
      <c r="H21">
        <v>2000</v>
      </c>
      <c r="J21">
        <f>H21</f>
        <v>2000</v>
      </c>
    </row>
    <row r="22" spans="6:15" x14ac:dyDescent="0.3">
      <c r="G22" t="s">
        <v>6</v>
      </c>
      <c r="H22">
        <v>8000</v>
      </c>
      <c r="J22">
        <f>H22</f>
        <v>8000</v>
      </c>
      <c r="N22">
        <v>7250</v>
      </c>
      <c r="O22">
        <f>N22*3</f>
        <v>21750</v>
      </c>
    </row>
    <row r="23" spans="6:15" x14ac:dyDescent="0.3">
      <c r="G23" t="s">
        <v>7</v>
      </c>
      <c r="H23">
        <v>600</v>
      </c>
      <c r="J23">
        <f t="shared" ref="J23:J26" si="4">H23</f>
        <v>600</v>
      </c>
      <c r="O23">
        <f>O22-8000</f>
        <v>13750</v>
      </c>
    </row>
    <row r="24" spans="6:15" x14ac:dyDescent="0.3">
      <c r="G24" t="s">
        <v>8</v>
      </c>
      <c r="H24">
        <v>1000</v>
      </c>
      <c r="J24">
        <f t="shared" si="4"/>
        <v>1000</v>
      </c>
    </row>
    <row r="25" spans="6:15" x14ac:dyDescent="0.3">
      <c r="G25" t="s">
        <v>13</v>
      </c>
      <c r="H25">
        <v>300</v>
      </c>
      <c r="J25">
        <f t="shared" si="4"/>
        <v>300</v>
      </c>
    </row>
    <row r="26" spans="6:15" x14ac:dyDescent="0.3">
      <c r="G26" t="s">
        <v>14</v>
      </c>
      <c r="H26">
        <v>700</v>
      </c>
      <c r="J26">
        <f t="shared" si="4"/>
        <v>700</v>
      </c>
    </row>
    <row r="27" spans="6:15" x14ac:dyDescent="0.3">
      <c r="I27" s="2" t="s">
        <v>4</v>
      </c>
      <c r="J27" s="2">
        <f>SUM(J20:J26)</f>
        <v>20100</v>
      </c>
    </row>
    <row r="28" spans="6:15" x14ac:dyDescent="0.3">
      <c r="I28" s="2" t="s">
        <v>10</v>
      </c>
      <c r="J28" s="2">
        <f>$G$1-J27</f>
        <v>4900</v>
      </c>
    </row>
    <row r="29" spans="6:15" x14ac:dyDescent="0.3">
      <c r="I29" s="2" t="s">
        <v>11</v>
      </c>
      <c r="J29" s="2">
        <f>$G$2-J27</f>
        <v>9900</v>
      </c>
    </row>
  </sheetData>
  <mergeCells count="4">
    <mergeCell ref="M3:N3"/>
    <mergeCell ref="F18:G18"/>
    <mergeCell ref="A4:B4"/>
    <mergeCell ref="A3:B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Aneth Rosales</dc:creator>
  <cp:lastModifiedBy>Frances Aneth Rosales</cp:lastModifiedBy>
  <dcterms:created xsi:type="dcterms:W3CDTF">2025-07-10T18:21:49Z</dcterms:created>
  <dcterms:modified xsi:type="dcterms:W3CDTF">2025-07-11T07:35:28Z</dcterms:modified>
</cp:coreProperties>
</file>