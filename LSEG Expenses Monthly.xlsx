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AUDIT\"/>
    </mc:Choice>
  </mc:AlternateContent>
  <xr:revisionPtr revIDLastSave="0" documentId="13_ncr:1_{8113E758-9FFD-4254-989B-445A3F4FC282}" xr6:coauthVersionLast="47" xr6:coauthVersionMax="47" xr10:uidLastSave="{00000000-0000-0000-0000-000000000000}"/>
  <bookViews>
    <workbookView xWindow="-108" yWindow="-108" windowWidth="23256" windowHeight="13176" xr2:uid="{368BEB08-55BA-4CBF-A4CB-A263B4082E78}"/>
  </bookViews>
  <sheets>
    <sheet name="Main" sheetId="1" r:id="rId1"/>
    <sheet name="Utility" sheetId="7" r:id="rId2"/>
    <sheet name="Transpo" sheetId="2" r:id="rId3"/>
    <sheet name="WIFI" sheetId="4" r:id="rId4"/>
    <sheet name="Benefits" sheetId="3" r:id="rId5"/>
    <sheet name="N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8" i="3"/>
  <c r="G8" i="3"/>
  <c r="C13" i="1"/>
  <c r="H9" i="7"/>
  <c r="G10" i="7"/>
  <c r="H10" i="7" s="1"/>
  <c r="H11" i="7" s="1"/>
  <c r="C9" i="1"/>
  <c r="G17" i="6"/>
  <c r="I17" i="6" s="1"/>
  <c r="H17" i="6"/>
  <c r="I5" i="6"/>
  <c r="H5" i="6"/>
  <c r="H6" i="6"/>
  <c r="H7" i="6"/>
  <c r="H8" i="6"/>
  <c r="H9" i="6"/>
  <c r="H10" i="6"/>
  <c r="H11" i="6"/>
  <c r="H12" i="6"/>
  <c r="H13" i="6"/>
  <c r="H14" i="6"/>
  <c r="I14" i="6" s="1"/>
  <c r="H15" i="6"/>
  <c r="H16" i="6"/>
  <c r="G19" i="3"/>
  <c r="G18" i="3"/>
  <c r="F19" i="3"/>
  <c r="H4" i="3"/>
  <c r="M5" i="6"/>
  <c r="L5" i="6"/>
  <c r="I11" i="6"/>
  <c r="I8" i="6"/>
  <c r="F14" i="2"/>
  <c r="C8" i="1" s="1"/>
  <c r="F11" i="2"/>
  <c r="F8" i="2"/>
  <c r="F5" i="2"/>
  <c r="F2" i="2"/>
  <c r="C11" i="1"/>
  <c r="D15" i="3" l="1"/>
  <c r="D19" i="3" s="1"/>
  <c r="F6" i="3"/>
  <c r="G6" i="3" s="1"/>
  <c r="F4" i="3"/>
  <c r="G4" i="3" s="1"/>
  <c r="G30" i="4"/>
  <c r="C12" i="1"/>
  <c r="E12" i="1" s="1"/>
  <c r="E13" i="1"/>
  <c r="C7" i="1"/>
  <c r="E7" i="1" s="1"/>
  <c r="C23" i="4"/>
  <c r="D8" i="4"/>
  <c r="G29" i="4" s="1"/>
  <c r="C15" i="4"/>
  <c r="E11" i="1" s="1"/>
  <c r="E8" i="1"/>
  <c r="E10" i="1"/>
  <c r="E9" i="1"/>
  <c r="G10" i="3" l="1"/>
  <c r="B23" i="3" s="1"/>
  <c r="E15" i="1" s="1"/>
  <c r="E16" i="1" s="1"/>
  <c r="E14" i="1"/>
</calcChain>
</file>

<file path=xl/sharedStrings.xml><?xml version="1.0" encoding="utf-8"?>
<sst xmlns="http://schemas.openxmlformats.org/spreadsheetml/2006/main" count="157" uniqueCount="85">
  <si>
    <t>Sal</t>
  </si>
  <si>
    <t>Rent</t>
  </si>
  <si>
    <t>Transpo</t>
  </si>
  <si>
    <t>Food</t>
  </si>
  <si>
    <t>Laundry</t>
  </si>
  <si>
    <t>WIFI</t>
  </si>
  <si>
    <t>Water</t>
  </si>
  <si>
    <t>Utility</t>
  </si>
  <si>
    <t>TOTAL</t>
  </si>
  <si>
    <t>ITEM</t>
  </si>
  <si>
    <t>PRICE</t>
  </si>
  <si>
    <t>NOTE</t>
  </si>
  <si>
    <t>Gtotal</t>
  </si>
  <si>
    <t>(Felix)</t>
  </si>
  <si>
    <t>Benefits</t>
  </si>
  <si>
    <t>Week</t>
  </si>
  <si>
    <t>Day</t>
  </si>
  <si>
    <t>Tue</t>
  </si>
  <si>
    <t>Thu</t>
  </si>
  <si>
    <t>Total Monthly Cost</t>
  </si>
  <si>
    <t>Trip Type</t>
  </si>
  <si>
    <t>One-way Cost</t>
  </si>
  <si>
    <t>Back &amp; Forth Cost</t>
  </si>
  <si>
    <t>Total Weekly Cost</t>
  </si>
  <si>
    <t>Office Onsite</t>
  </si>
  <si>
    <t>Internet</t>
  </si>
  <si>
    <t>Weekly Cost</t>
  </si>
  <si>
    <t>Cumulative Total</t>
  </si>
  <si>
    <t>Info:</t>
  </si>
  <si>
    <t>Home Wifi + Globe Internet</t>
  </si>
  <si>
    <t>Total</t>
  </si>
  <si>
    <t>DITO</t>
  </si>
  <si>
    <t>Monthly Cost</t>
  </si>
  <si>
    <t>Note</t>
  </si>
  <si>
    <t>Smooth &amp; Reliable for Most Work-from-Home Tasks</t>
  </si>
  <si>
    <t>25–50 Mbps download</t>
  </si>
  <si>
    <t>5–10 Mbps upload</t>
  </si>
  <si>
    <t>Comfortable for Heavy Work or Multi-Device Setup</t>
  </si>
  <si>
    <t>50–100+ Mbps download</t>
  </si>
  <si>
    <t>20+ Mbps upload</t>
  </si>
  <si>
    <t>https://www.facebook.com/share/p/16np12oyqG/</t>
  </si>
  <si>
    <t xml:space="preserve">DITO 5G &amp; for Home Wifi&gt;10mbps </t>
  </si>
  <si>
    <t>https://dito.ph/wowfi</t>
  </si>
  <si>
    <t xml:space="preserve">UNLI 5G data
50GB 4G data
*Unli on net, 300 mins off net
*Unli Text to all mobile networ
</t>
  </si>
  <si>
    <t xml:space="preserve">Postpaid &amp; for Home Wifi&gt;10mbps </t>
  </si>
  <si>
    <t xml:space="preserve">UNLI 5G data
60GB 4G data
*Unli on net
*Unli Text to all mobile networ
</t>
  </si>
  <si>
    <t>Plan: Test your phone’s 5G 
If you get at least 2–3 bars somewhere indoors, a modem in that spot will likely perform better than your phone.
If your phone shows 0–1 bar everywhere, a modem with an external antenna might help —                                    otherwise, fiber might be the better main connection.</t>
  </si>
  <si>
    <t>MONTHLY</t>
  </si>
  <si>
    <t>PLDT</t>
  </si>
  <si>
    <t>ISP-FIBER</t>
  </si>
  <si>
    <t>Globe</t>
  </si>
  <si>
    <t>Sky</t>
  </si>
  <si>
    <t>DITO=Good =&gt; DITO only</t>
  </si>
  <si>
    <t>Converge</t>
  </si>
  <si>
    <t>MBPS</t>
  </si>
  <si>
    <t>KEJ Fiber</t>
  </si>
  <si>
    <t>NAME</t>
  </si>
  <si>
    <t>DESC</t>
  </si>
  <si>
    <t>TIME</t>
  </si>
  <si>
    <t>COST</t>
  </si>
  <si>
    <t>Wellness Allowance</t>
  </si>
  <si>
    <t>Annual Wellness Allowance of PHP 18,000 per year.</t>
  </si>
  <si>
    <t>YEARLY</t>
  </si>
  <si>
    <t>MONTHLY COST</t>
  </si>
  <si>
    <t>TOTAL PER MONTH</t>
  </si>
  <si>
    <t>SEMI-MONTHLY</t>
  </si>
  <si>
    <t>Per illness per year is Two Hundred Fifty Thousand Pesos (Php250,000.00),</t>
  </si>
  <si>
    <t>Private Medical Insurance</t>
  </si>
  <si>
    <t>Rice Allowance</t>
  </si>
  <si>
    <t>Be eligible to a rice allowance of Two Thousand Pesos (Php 2,000.00) per month pro-rated on your first month.</t>
  </si>
  <si>
    <t>If you worked overtime from 6 PM to 10 PM on a Tuesday (4 hours), you can buy dinner worth up to ₱150, keep the OR, and claim it for reimbursement in payroll or through your company’s expense system.</t>
  </si>
  <si>
    <t>DAILY</t>
  </si>
  <si>
    <t>Transportation Subsidy</t>
  </si>
  <si>
    <t>Eligible to claim for transportation subsidy of Php 350 whenever they report physically to the office.</t>
  </si>
  <si>
    <t>BENEFIT</t>
  </si>
  <si>
    <t>CONTRIBUTION</t>
  </si>
  <si>
    <t>SSS</t>
  </si>
  <si>
    <t>Pag-IBIG</t>
  </si>
  <si>
    <t xml:space="preserve">PhilHealth </t>
  </si>
  <si>
    <t>(Income) Tax</t>
  </si>
  <si>
    <t>Tsal-3Total= 15%</t>
  </si>
  <si>
    <t>GTOTAL</t>
  </si>
  <si>
    <t>Meal Reimbursement overtime</t>
  </si>
  <si>
    <t>Fri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</si>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</sst>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₱&quot;#,##0;[Red]\-&quot;₱&quot;#,##0"/>
    <numFmt numFmtId="44" formatCode="_-&quot;₱&quot;* #,##0.00_-;\-&quot;₱&quot;* #,##0.00_-;_-&quot;₱&quot;* &quot;-&quot;??_-;_-@_-"/>
    <numFmt numFmtId="164" formatCode="_-[$₱-3409]* #,##0.00_-;\-[$₱-3409]* #,##0.00_-;_-[$₱-34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2" fillId="3" borderId="2" xfId="0" applyFont="1" applyFill="1" applyBorder="1"/>
    <xf numFmtId="0" fontId="0" fillId="2" borderId="1" xfId="0" applyFill="1" applyBorder="1"/>
    <xf numFmtId="0" fontId="0" fillId="0" borderId="1" xfId="0" applyBorder="1"/>
    <xf numFmtId="164" fontId="0" fillId="0" borderId="0" xfId="0" applyNumberFormat="1"/>
    <xf numFmtId="44" fontId="0" fillId="0" borderId="0" xfId="1" applyFont="1"/>
    <xf numFmtId="44" fontId="3" fillId="0" borderId="0" xfId="1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vertical="center" wrapText="1"/>
    </xf>
    <xf numFmtId="6" fontId="3" fillId="0" borderId="0" xfId="0" applyNumberFormat="1" applyFont="1" applyAlignment="1">
      <alignment vertical="center" wrapText="1"/>
    </xf>
    <xf numFmtId="6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6" fontId="0" fillId="0" borderId="0" xfId="1" applyNumberFormat="1" applyFont="1" applyAlignment="1">
      <alignment horizontal="right"/>
    </xf>
    <xf numFmtId="44" fontId="0" fillId="0" borderId="0" xfId="1" applyFont="1" applyAlignment="1"/>
    <xf numFmtId="44" fontId="0" fillId="0" borderId="0" xfId="0" applyNumberFormat="1"/>
    <xf numFmtId="44" fontId="0" fillId="2" borderId="1" xfId="0" applyNumberFormat="1" applyFill="1" applyBorder="1"/>
    <xf numFmtId="44" fontId="0" fillId="0" borderId="1" xfId="0" applyNumberFormat="1" applyBorder="1"/>
    <xf numFmtId="9" fontId="0" fillId="2" borderId="1" xfId="0" applyNumberFormat="1" applyFill="1" applyBorder="1"/>
    <xf numFmtId="164" fontId="3" fillId="0" borderId="0" xfId="0" applyNumberFormat="1" applyFont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</cellXfs>
  <cellStyles count="2">
    <cellStyle name="Currency" xfId="1" builtinId="4"/>
    <cellStyle name="Normal" xfId="0" builtinId="0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  <numFmt numFmtId="10" formatCode="&quot;₱&quot;#,##0;[Red]\-&quot;₱&quot;#,##0"/>
      <alignment horizontal="general" vertical="center" textRotation="0" wrapText="1" indent="0" justifyLastLine="0" shrinkToFit="0" readingOrder="0"/>
    </dxf>
    <dxf>
      <font>
        <b/>
      </font>
      <numFmt numFmtId="10" formatCode="&quot;₱&quot;#,##0;[Red]\-&quot;₱&quot;#,##0"/>
      <alignment horizontal="general" vertical="center" textRotation="0" wrapText="1" indent="0" justifyLastLine="0" shrinkToFit="0" readingOrder="0"/>
    </dxf>
    <dxf>
      <numFmt numFmtId="10" formatCode="&quot;₱&quot;#,##0;[Red]\-&quot;₱&quot;#,##0"/>
      <alignment horizontal="general" vertical="center" textRotation="0" wrapText="1" indent="0" justifyLastLine="0" shrinkToFit="0" readingOrder="0"/>
    </dxf>
    <dxf>
      <numFmt numFmtId="10" formatCode="&quot;₱&quot;#,##0;[Red]\-&quot;₱&quot;#,##0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0" formatCode="&quot;₱&quot;#,##0;[Red]\-&quot;₱&quot;#,##0"/>
      <alignment horizontal="general" vertical="center" textRotation="0" wrapText="1" indent="0" justifyLastLine="0" shrinkToFit="0" readingOrder="0"/>
    </dxf>
    <dxf>
      <numFmt numFmtId="10" formatCode="&quot;₱&quot;#,##0;[Red]\-&quot;₱&quot;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0" formatCode="&quot;₱&quot;#,##0;[Red]\-&quot;₱&quot;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34" formatCode="_-&quot;₱&quot;* #,##0.00_-;\-&quot;₱&quot;* #,##0.00_-;_-&quot;₱&quot;* &quot;-&quot;??_-;_-@_-"/>
    </dxf>
    <dxf>
      <numFmt numFmtId="34" formatCode="_-&quot;₱&quot;* #,##0.00_-;\-&quot;₱&quot;* #,##0.00_-;_-&quot;₱&quot;* &quot;-&quot;??_-;_-@_-"/>
    </dxf>
    <dxf>
      <numFmt numFmtId="34" formatCode="_-&quot;₱&quot;* #,##0.00_-;\-&quot;₱&quot;* #,##0.00_-;_-&quot;₱&quot;* &quot;-&quot;??_-;_-@_-"/>
    </dxf>
    <dxf>
      <numFmt numFmtId="34" formatCode="_-&quot;₱&quot;* #,##0.00_-;\-&quot;₱&quot;* #,##0.00_-;_-&quot;₱&quot;* &quot;-&quot;??_-;_-@_-"/>
    </dxf>
    <dxf>
      <alignment horizontal="general" vertical="bottom" textRotation="0" wrapText="0" indent="0" justifyLastLine="0" shrinkToFit="0" readingOrder="0"/>
    </dxf>
    <dxf>
      <numFmt numFmtId="10" formatCode="&quot;₱&quot;#,##0;[Red]\-&quot;₱&quot;#,##0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0" formatCode="&quot;₱&quot;#,##0;[Red]\-&quot;₱&quot;#,##0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0" formatCode="&quot;₱&quot;#,##0;[Red]\-&quot;₱&quot;#,##0"/>
      <alignment horizontal="general" vertical="center" textRotation="0" wrapText="1" indent="0" justifyLastLine="0" shrinkToFit="0" readingOrder="0"/>
    </dxf>
    <dxf>
      <numFmt numFmtId="10" formatCode="&quot;₱&quot;#,##0;[Red]\-&quot;₱&quot;#,##0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0" formatCode="&quot;₱&quot;#,##0;[Red]\-&quot;₱&quot;#,##0"/>
      <alignment horizontal="general" vertical="center" textRotation="0" wrapText="1" indent="0" justifyLastLine="0" shrinkToFit="0" readingOrder="0"/>
    </dxf>
    <dxf>
      <numFmt numFmtId="10" formatCode="&quot;₱&quot;#,##0;[Red]\-&quot;₱&quot;#,##0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0" formatCode="&quot;₱&quot;#,##0;[Red]\-&quot;₱&quot;#,##0"/>
      <alignment horizontal="general" vertical="center" textRotation="0" wrapText="1" indent="0" justifyLastLine="0" shrinkToFit="0" readingOrder="0"/>
    </dxf>
    <dxf>
      <numFmt numFmtId="10" formatCode="&quot;₱&quot;#,##0;[Red]\-&quot;₱&quot;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0" formatCode="&quot;₱&quot;#,##0;[Red]\-&quot;₱&quot;#,##0"/>
      <alignment horizontal="general" vertical="center" textRotation="0" wrapText="1" indent="0" justifyLastLine="0" shrinkToFit="0" readingOrder="0"/>
    </dxf>
    <dxf>
      <numFmt numFmtId="10" formatCode="&quot;₱&quot;#,##0;[Red]\-&quot;₱&quot;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D9C0F7-11DC-4BAF-B5D4-8E427FD3A597}" name="Table32" displayName="Table32" ref="B6:E16" totalsRowShown="0">
  <autoFilter ref="B6:E16" xr:uid="{EDD9C0F7-11DC-4BAF-B5D4-8E427FD3A597}"/>
  <tableColumns count="4">
    <tableColumn id="1" xr3:uid="{0A5CE77F-3448-4CA7-99D6-C5AACFC65443}" name="ITEM"/>
    <tableColumn id="2" xr3:uid="{F6F97BF1-69F0-4F19-B1D4-E1E6A056C3F9}" name="PRICE"/>
    <tableColumn id="3" xr3:uid="{10E517AB-8583-4F9A-998D-7197563BEC5B}" name="NOTE" dataDxfId="1"/>
    <tableColumn id="4" xr3:uid="{DCE89064-23E8-4DEA-B23A-B7FBDC9B1D54}" name="TOTAL" dataDxfId="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3DAF25A-2308-4C92-96C9-54E53B4E6945}" name="Table3513" displayName="Table3513" ref="G8:H11" totalsRowCount="1" headerRowDxfId="7" totalsRowDxfId="2">
  <tableColumns count="2">
    <tableColumn id="2" xr3:uid="{BAF72261-97CE-4E12-849D-0A2684BF6CD5}" name="Monthly Cost" dataDxfId="6" totalsRowDxfId="4"/>
    <tableColumn id="3" xr3:uid="{1E478C8F-C823-4C6C-93C9-04149E65EB49}" name="Cumulative Total" totalsRowFunction="custom" dataDxfId="5" totalsRowDxfId="3">
      <totalsRowFormula>H10/2</totalsRow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1ED101-0D80-472E-8913-19875752D4D2}" name="Table2" displayName="Table2" ref="A1:F14" totalsRowShown="0" headerRowDxfId="40">
  <tableColumns count="6">
    <tableColumn id="1" xr3:uid="{4A0A22E1-46A5-4D52-8592-D8BCC0A477A9}" name="Week" dataDxfId="39"/>
    <tableColumn id="2" xr3:uid="{482185FF-A39C-4FC1-92E1-EF6405A5E019}" name="Day" dataDxfId="38"/>
    <tableColumn id="3" xr3:uid="{BC8949EF-9C9E-4874-BB21-F78F906651E6}" name="Trip Type" dataDxfId="37"/>
    <tableColumn id="4" xr3:uid="{2561F2F5-3AAF-47C1-88B9-9F9C1D8B2C91}" name="One-way Cost" dataDxfId="36"/>
    <tableColumn id="5" xr3:uid="{63A4FC50-C187-45DD-90AB-FD32799D45E0}" name="Back &amp; Forth Cost" dataDxfId="35"/>
    <tableColumn id="6" xr3:uid="{C128C5C8-D950-469E-9BF1-B9A5DD6400FC}" name="Total Weekly Cost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965C05-D1A8-4EF1-91FF-C148321516C6}" name="Table3" displayName="Table3" ref="B3:D8" totalsRowShown="0" headerRowDxfId="34">
  <tableColumns count="3">
    <tableColumn id="1" xr3:uid="{394F4B8C-7169-4A20-AB7C-3A81D4A540BD}" name="Week" dataDxfId="33"/>
    <tableColumn id="2" xr3:uid="{C1D5F423-4A09-48AE-A88A-B274FBE844E5}" name="Weekly Cost" dataDxfId="32"/>
    <tableColumn id="3" xr3:uid="{3E2DAA8F-68C7-43DE-A10B-FFB11AA43F4B}" name="Cumulative Total" dataDxfId="31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8FC3C5-9712-43B3-B25A-E22F30098786}" name="Table35" displayName="Table35" ref="B13:C15" totalsRowShown="0" headerRowDxfId="30">
  <tableColumns count="2">
    <tableColumn id="2" xr3:uid="{6F1D31C6-F3E8-4107-B7E3-5CF5C8DCCCFC}" name="Monthly Cost" dataDxfId="29"/>
    <tableColumn id="3" xr3:uid="{2AB9FB97-9138-4DE3-97B5-BE193BEF4626}" name="Cumulative Total" dataDxfId="28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0618E2-E67A-4EF8-9AEA-D9A5C37EA62D}" name="Table356" displayName="Table356" ref="B21:C23" totalsRowShown="0" headerRowDxfId="27">
  <tableColumns count="2">
    <tableColumn id="2" xr3:uid="{06EC8B27-44DE-4525-BE33-139DC1D21004}" name="Monthly Cost" dataDxfId="26"/>
    <tableColumn id="3" xr3:uid="{08614A47-F6A2-48D5-885A-6980D0FBCE6C}" name="Cumulative Total" dataDxfId="25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1A8949-5BED-4927-A169-5872EF95815C}" name="Table3567" displayName="Table3567" ref="B28:D34" totalsRowShown="0" headerRowDxfId="24">
  <sortState xmlns:xlrd2="http://schemas.microsoft.com/office/spreadsheetml/2017/richdata2" ref="B29:D33">
    <sortCondition ref="D28:D33"/>
  </sortState>
  <tableColumns count="3">
    <tableColumn id="2" xr3:uid="{D6CA2EE6-5819-4DA7-8D8F-E1698011D0F9}" name="ISP-FIBER" dataDxfId="23"/>
    <tableColumn id="3" xr3:uid="{BF2E21FF-A8B0-460F-978B-9CF2E3E731D2}" name="MBPS" dataDxfId="22"/>
    <tableColumn id="4" xr3:uid="{8A87F633-A9F8-4BA1-88E7-1CBDE8BFE780}" name="MONTHLY" dataDxfId="21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A5A924A-5AAA-43A8-B74C-84A7D51856B3}" name="Table7" displayName="Table7" ref="B3:H8" totalsRowShown="0">
  <tableColumns count="7">
    <tableColumn id="1" xr3:uid="{E2638798-8EE5-463E-A161-219201E5943C}" name="NAME"/>
    <tableColumn id="2" xr3:uid="{C80DD5FE-578E-44E5-802F-EDED3BA1ED9F}" name="DESC" dataDxfId="20"/>
    <tableColumn id="3" xr3:uid="{DA72BF97-896C-46E4-8AB4-B5DBA0E81ED6}" name="TIME"/>
    <tableColumn id="4" xr3:uid="{1CE5A217-2ABD-4341-B53A-D86ED66EB8D5}" name="COST" dataDxfId="19"/>
    <tableColumn id="5" xr3:uid="{24CA4590-C23C-477A-9166-F4D86CFD45B8}" name="MONTHLY COST" dataDxfId="18">
      <calculatedColumnFormula>Table7[[#This Row],[COST]]/12</calculatedColumnFormula>
    </tableColumn>
    <tableColumn id="6" xr3:uid="{4D82FBEB-8AAA-4164-A9E0-5D488EBB1421}" name="TOTAL PER MONTH" dataDxfId="17">
      <calculatedColumnFormula>Table7[[#This Row],[MONTHLY COST]]</calculatedColumnFormula>
    </tableColumn>
    <tableColumn id="8" xr3:uid="{466ED6D5-F32C-4EFD-B7B6-6F222FEB700C}" name="SEMI-MONTHLY" dataDxfId="16">
      <calculatedColumnFormula>Table7[[#This Row],[TOTAL PER MONTH]]/2</calculatedColumnFormula>
    </tableColumn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B239BB-5ACB-4C31-97D7-8277392FF650}" name="Table212" displayName="Table212" ref="D4:I17" totalsRowShown="0" headerRowDxfId="15" dataDxfId="10">
  <tableColumns count="6">
    <tableColumn id="1" xr3:uid="{7DEEAE59-557A-44BE-8786-111C7333E701}" name="Week" dataDxfId="14"/>
    <tableColumn id="2" xr3:uid="{C3C12922-A530-43CC-B03C-1E8E62225929}" name="Day" dataDxfId="13"/>
    <tableColumn id="3" xr3:uid="{E022583E-FBE5-40D0-9754-34AA7EBBEBA2}" name="Trip Type" dataDxfId="12"/>
    <tableColumn id="4" xr3:uid="{B391BE0F-0DD4-4748-8A55-B316DD7D8810}" name="One-way Cost" dataDxfId="8">
      <calculatedColumnFormula>100</calculatedColumnFormula>
    </tableColumn>
    <tableColumn id="5" xr3:uid="{0985C6A3-A268-42FA-B2E8-185C6F0AEB0F}" name="Back &amp; Forth Cost" dataDxfId="9">
      <calculatedColumnFormula>155</calculatedColumnFormula>
    </tableColumn>
    <tableColumn id="6" xr3:uid="{36629737-D37D-42E0-98E6-8B2AD0DB3F9D}" name="Total Weekly Cost" dataDxfId="1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3AF8-7B46-4ADF-8072-1A0EBE02710D}">
  <dimension ref="A2:F16"/>
  <sheetViews>
    <sheetView tabSelected="1" zoomScale="108" zoomScaleNormal="115" workbookViewId="0">
      <selection activeCell="F14" sqref="F14"/>
    </sheetView>
  </sheetViews>
  <sheetFormatPr defaultRowHeight="14.4" x14ac:dyDescent="0.3"/>
  <cols>
    <col min="2" max="2" width="11.44140625" bestFit="1" customWidth="1"/>
    <col min="3" max="3" width="10.44140625" bestFit="1" customWidth="1"/>
    <col min="4" max="4" width="28.6640625" customWidth="1"/>
    <col min="5" max="5" width="20.109375" customWidth="1"/>
    <col min="6" max="6" width="14.33203125" customWidth="1"/>
  </cols>
  <sheetData>
    <row r="2" spans="1:6" x14ac:dyDescent="0.3">
      <c r="A2" t="s">
        <v>0</v>
      </c>
      <c r="B2" s="5">
        <v>35000</v>
      </c>
    </row>
    <row r="6" spans="1:6" x14ac:dyDescent="0.3">
      <c r="B6" t="s">
        <v>9</v>
      </c>
      <c r="C6" t="s">
        <v>10</v>
      </c>
      <c r="D6" t="s">
        <v>11</v>
      </c>
      <c r="E6" t="s">
        <v>8</v>
      </c>
    </row>
    <row r="7" spans="1:6" x14ac:dyDescent="0.3">
      <c r="B7" t="s">
        <v>1</v>
      </c>
      <c r="C7" s="18">
        <f>3500</f>
        <v>3500</v>
      </c>
      <c r="D7" t="s">
        <v>13</v>
      </c>
      <c r="E7" s="6">
        <f>C7</f>
        <v>3500</v>
      </c>
    </row>
    <row r="8" spans="1:6" x14ac:dyDescent="0.3">
      <c r="B8" t="s">
        <v>2</v>
      </c>
      <c r="C8" s="17">
        <f>Transpo!F14</f>
        <v>2640</v>
      </c>
      <c r="E8" s="6">
        <f>C8</f>
        <v>2640</v>
      </c>
    </row>
    <row r="9" spans="1:6" x14ac:dyDescent="0.3">
      <c r="B9" t="s">
        <v>3</v>
      </c>
      <c r="C9" s="14">
        <f>NES!I17</f>
        <v>2820</v>
      </c>
      <c r="E9" s="6">
        <f>C9</f>
        <v>2820</v>
      </c>
    </row>
    <row r="10" spans="1:6" x14ac:dyDescent="0.3">
      <c r="B10" t="s">
        <v>4</v>
      </c>
      <c r="C10" s="6">
        <v>200</v>
      </c>
      <c r="E10" s="6">
        <f t="shared" ref="E10:E13" si="0">C10</f>
        <v>200</v>
      </c>
    </row>
    <row r="11" spans="1:6" x14ac:dyDescent="0.3">
      <c r="B11" t="s">
        <v>25</v>
      </c>
      <c r="C11" s="14">
        <f>WIFI!D8</f>
        <v>396</v>
      </c>
      <c r="D11" t="s">
        <v>84</v>
      </c>
      <c r="E11" s="6">
        <f t="shared" si="0"/>
        <v>396</v>
      </c>
    </row>
    <row r="12" spans="1:6" x14ac:dyDescent="0.3">
      <c r="B12" t="s">
        <v>6</v>
      </c>
      <c r="C12" s="6">
        <f>0</f>
        <v>0</v>
      </c>
      <c r="E12" s="6">
        <f t="shared" si="0"/>
        <v>0</v>
      </c>
    </row>
    <row r="13" spans="1:6" x14ac:dyDescent="0.3">
      <c r="B13" t="s">
        <v>7</v>
      </c>
      <c r="C13" s="14">
        <f>Table3513[[#Totals],[Cumulative Total]]</f>
        <v>410</v>
      </c>
      <c r="E13" s="6">
        <f t="shared" si="0"/>
        <v>410</v>
      </c>
    </row>
    <row r="14" spans="1:6" x14ac:dyDescent="0.3">
      <c r="D14" s="1" t="s">
        <v>8</v>
      </c>
      <c r="E14" s="7">
        <f>SUM(E7:E13)</f>
        <v>9966</v>
      </c>
      <c r="F14" s="19">
        <f>SUM(E8:E12)/2</f>
        <v>3028</v>
      </c>
    </row>
    <row r="15" spans="1:6" x14ac:dyDescent="0.3">
      <c r="D15" s="1" t="s">
        <v>14</v>
      </c>
      <c r="E15" s="7">
        <f>Benefits!B23</f>
        <v>800</v>
      </c>
    </row>
    <row r="16" spans="1:6" x14ac:dyDescent="0.3">
      <c r="D16" s="1" t="s">
        <v>12</v>
      </c>
      <c r="E16" s="23">
        <f>(B2+E15)-E14</f>
        <v>25834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10EC-0E42-42C1-864B-162C58076DE3}">
  <dimension ref="G8:H11"/>
  <sheetViews>
    <sheetView workbookViewId="0">
      <selection activeCell="H8" sqref="H8"/>
    </sheetView>
  </sheetViews>
  <sheetFormatPr defaultRowHeight="14.4" x14ac:dyDescent="0.3"/>
  <cols>
    <col min="7" max="7" width="15.44140625" customWidth="1"/>
    <col min="8" max="8" width="20.21875" customWidth="1"/>
  </cols>
  <sheetData>
    <row r="8" spans="7:8" x14ac:dyDescent="0.3">
      <c r="G8" s="8" t="s">
        <v>32</v>
      </c>
      <c r="H8" s="8" t="s">
        <v>27</v>
      </c>
    </row>
    <row r="9" spans="7:8" x14ac:dyDescent="0.3">
      <c r="G9">
        <v>510</v>
      </c>
      <c r="H9">
        <f>469</f>
        <v>469</v>
      </c>
    </row>
    <row r="10" spans="7:8" x14ac:dyDescent="0.3">
      <c r="G10">
        <f>G9-H9</f>
        <v>41</v>
      </c>
      <c r="H10">
        <f>G10*20</f>
        <v>820</v>
      </c>
    </row>
    <row r="11" spans="7:8" x14ac:dyDescent="0.3">
      <c r="G11" s="13"/>
      <c r="H11" s="13">
        <f>H10/2</f>
        <v>410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7206-5B4F-48C2-B9D9-A62D74F47E96}">
  <dimension ref="A1:F14"/>
  <sheetViews>
    <sheetView zoomScale="115" zoomScaleNormal="115" workbookViewId="0">
      <selection activeCell="A2" sqref="A2:F14"/>
    </sheetView>
  </sheetViews>
  <sheetFormatPr defaultRowHeight="14.4" x14ac:dyDescent="0.3"/>
  <cols>
    <col min="1" max="1" width="12.33203125" bestFit="1" customWidth="1"/>
    <col min="3" max="3" width="13.21875" bestFit="1" customWidth="1"/>
    <col min="4" max="4" width="14.5546875" customWidth="1"/>
    <col min="5" max="5" width="17.77734375" customWidth="1"/>
    <col min="6" max="6" width="17.88671875" customWidth="1"/>
  </cols>
  <sheetData>
    <row r="1" spans="1:6" x14ac:dyDescent="0.3">
      <c r="A1" s="8" t="s">
        <v>15</v>
      </c>
      <c r="B1" s="8" t="s">
        <v>16</v>
      </c>
      <c r="C1" s="8" t="s">
        <v>20</v>
      </c>
      <c r="D1" s="8" t="s">
        <v>21</v>
      </c>
      <c r="E1" s="8" t="s">
        <v>22</v>
      </c>
      <c r="F1" s="8" t="s">
        <v>23</v>
      </c>
    </row>
    <row r="2" spans="1:6" x14ac:dyDescent="0.3">
      <c r="A2" s="9">
        <v>1</v>
      </c>
      <c r="B2" s="9" t="s">
        <v>17</v>
      </c>
      <c r="C2" s="9" t="s">
        <v>24</v>
      </c>
      <c r="D2" s="12">
        <v>120</v>
      </c>
      <c r="E2" s="12">
        <v>220</v>
      </c>
      <c r="F2" s="12">
        <f>SUM(E2:E4)</f>
        <v>660</v>
      </c>
    </row>
    <row r="3" spans="1:6" x14ac:dyDescent="0.3">
      <c r="A3" s="9"/>
      <c r="B3" s="9" t="s">
        <v>18</v>
      </c>
      <c r="C3" s="9" t="s">
        <v>24</v>
      </c>
      <c r="D3" s="12">
        <v>120</v>
      </c>
      <c r="E3" s="12">
        <v>220</v>
      </c>
      <c r="F3" s="9"/>
    </row>
    <row r="4" spans="1:6" x14ac:dyDescent="0.3">
      <c r="A4" s="9"/>
      <c r="B4" s="9" t="s">
        <v>83</v>
      </c>
      <c r="C4" s="9" t="s">
        <v>24</v>
      </c>
      <c r="D4" s="12">
        <v>120</v>
      </c>
      <c r="E4" s="12">
        <v>220</v>
      </c>
      <c r="F4" s="12"/>
    </row>
    <row r="5" spans="1:6" x14ac:dyDescent="0.3">
      <c r="A5" s="9">
        <v>2</v>
      </c>
      <c r="B5" s="9" t="s">
        <v>17</v>
      </c>
      <c r="C5" s="9" t="s">
        <v>24</v>
      </c>
      <c r="D5" s="12">
        <v>120</v>
      </c>
      <c r="E5" s="12">
        <v>220</v>
      </c>
      <c r="F5" s="12">
        <f>SUM(E5:E7)</f>
        <v>660</v>
      </c>
    </row>
    <row r="6" spans="1:6" x14ac:dyDescent="0.3">
      <c r="A6" s="9"/>
      <c r="B6" s="9" t="s">
        <v>18</v>
      </c>
      <c r="C6" s="9" t="s">
        <v>24</v>
      </c>
      <c r="D6" s="12">
        <v>120</v>
      </c>
      <c r="E6" s="12">
        <v>220</v>
      </c>
      <c r="F6" s="9"/>
    </row>
    <row r="7" spans="1:6" x14ac:dyDescent="0.3">
      <c r="A7" s="9"/>
      <c r="B7" s="9" t="s">
        <v>83</v>
      </c>
      <c r="C7" s="9" t="s">
        <v>24</v>
      </c>
      <c r="D7" s="12">
        <v>120</v>
      </c>
      <c r="E7" s="12">
        <v>220</v>
      </c>
      <c r="F7" s="12"/>
    </row>
    <row r="8" spans="1:6" x14ac:dyDescent="0.3">
      <c r="A8" s="9">
        <v>3</v>
      </c>
      <c r="B8" s="9" t="s">
        <v>17</v>
      </c>
      <c r="C8" s="9" t="s">
        <v>24</v>
      </c>
      <c r="D8" s="12">
        <v>120</v>
      </c>
      <c r="E8" s="12">
        <v>220</v>
      </c>
      <c r="F8" s="12">
        <f>SUM(E8:E10)</f>
        <v>660</v>
      </c>
    </row>
    <row r="9" spans="1:6" x14ac:dyDescent="0.3">
      <c r="A9" s="9"/>
      <c r="B9" s="9" t="s">
        <v>18</v>
      </c>
      <c r="C9" s="9" t="s">
        <v>24</v>
      </c>
      <c r="D9" s="12">
        <v>120</v>
      </c>
      <c r="E9" s="12">
        <v>220</v>
      </c>
      <c r="F9" s="9"/>
    </row>
    <row r="10" spans="1:6" x14ac:dyDescent="0.3">
      <c r="A10" s="9"/>
      <c r="B10" s="9" t="s">
        <v>83</v>
      </c>
      <c r="C10" s="9" t="s">
        <v>24</v>
      </c>
      <c r="D10" s="12">
        <v>120</v>
      </c>
      <c r="E10" s="12">
        <v>220</v>
      </c>
      <c r="F10" s="12"/>
    </row>
    <row r="11" spans="1:6" x14ac:dyDescent="0.3">
      <c r="A11" s="9">
        <v>4</v>
      </c>
      <c r="B11" s="9" t="s">
        <v>17</v>
      </c>
      <c r="C11" s="9" t="s">
        <v>24</v>
      </c>
      <c r="D11" s="12">
        <v>120</v>
      </c>
      <c r="E11" s="12">
        <v>220</v>
      </c>
      <c r="F11" s="12">
        <f>SUM(E11:E13)</f>
        <v>660</v>
      </c>
    </row>
    <row r="12" spans="1:6" x14ac:dyDescent="0.3">
      <c r="A12" s="9"/>
      <c r="B12" s="9" t="s">
        <v>18</v>
      </c>
      <c r="C12" s="9" t="s">
        <v>24</v>
      </c>
      <c r="D12" s="12">
        <v>120</v>
      </c>
      <c r="E12" s="12">
        <v>220</v>
      </c>
      <c r="F12" s="9"/>
    </row>
    <row r="13" spans="1:6" x14ac:dyDescent="0.3">
      <c r="A13" s="9"/>
      <c r="B13" s="9" t="s">
        <v>83</v>
      </c>
      <c r="C13" s="9" t="s">
        <v>24</v>
      </c>
      <c r="D13" s="12">
        <v>120</v>
      </c>
      <c r="E13" s="12">
        <v>220</v>
      </c>
      <c r="F13" s="12"/>
    </row>
    <row r="14" spans="1:6" ht="28.8" x14ac:dyDescent="0.3">
      <c r="A14" s="10" t="s">
        <v>19</v>
      </c>
      <c r="B14" s="9"/>
      <c r="C14" s="9"/>
      <c r="D14" s="12"/>
      <c r="E14" s="12"/>
      <c r="F14" s="13">
        <f>SUM(F2:F12)</f>
        <v>2640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707D3-97F3-4C0E-8D98-775EE476A10B}">
  <dimension ref="A1:R34"/>
  <sheetViews>
    <sheetView workbookViewId="0">
      <selection activeCell="B13" sqref="B13:C16"/>
    </sheetView>
  </sheetViews>
  <sheetFormatPr defaultRowHeight="14.4" x14ac:dyDescent="0.3"/>
  <cols>
    <col min="2" max="2" width="13" customWidth="1"/>
    <col min="3" max="3" width="17.44140625" customWidth="1"/>
    <col min="4" max="4" width="17.109375" customWidth="1"/>
    <col min="5" max="5" width="20.109375" customWidth="1"/>
    <col min="6" max="6" width="8.88671875" customWidth="1"/>
    <col min="7" max="7" width="10.109375" bestFit="1" customWidth="1"/>
    <col min="12" max="12" width="6.6640625" customWidth="1"/>
  </cols>
  <sheetData>
    <row r="1" spans="1:18" x14ac:dyDescent="0.3">
      <c r="A1" t="s">
        <v>28</v>
      </c>
      <c r="B1" s="25" t="s">
        <v>29</v>
      </c>
      <c r="C1" s="25"/>
    </row>
    <row r="2" spans="1:18" x14ac:dyDescent="0.3">
      <c r="B2" s="25"/>
      <c r="C2" s="25"/>
    </row>
    <row r="3" spans="1:18" x14ac:dyDescent="0.3">
      <c r="B3" s="8" t="s">
        <v>15</v>
      </c>
      <c r="C3" s="8" t="s">
        <v>26</v>
      </c>
      <c r="D3" s="8" t="s">
        <v>27</v>
      </c>
      <c r="J3" t="s">
        <v>33</v>
      </c>
    </row>
    <row r="4" spans="1:18" x14ac:dyDescent="0.3">
      <c r="B4" s="9">
        <v>1</v>
      </c>
      <c r="C4" s="12">
        <v>99</v>
      </c>
      <c r="D4" s="12"/>
      <c r="J4" t="s">
        <v>34</v>
      </c>
      <c r="P4" t="s">
        <v>37</v>
      </c>
    </row>
    <row r="5" spans="1:18" x14ac:dyDescent="0.3">
      <c r="B5" s="9">
        <v>2</v>
      </c>
      <c r="C5" s="12">
        <v>99</v>
      </c>
      <c r="D5" s="12"/>
      <c r="J5" s="1" t="s">
        <v>35</v>
      </c>
      <c r="P5" s="1" t="s">
        <v>38</v>
      </c>
    </row>
    <row r="6" spans="1:18" x14ac:dyDescent="0.3">
      <c r="B6" s="9">
        <v>3</v>
      </c>
      <c r="C6" s="12">
        <v>99</v>
      </c>
      <c r="D6" s="12"/>
      <c r="J6" s="1" t="s">
        <v>36</v>
      </c>
      <c r="P6" s="1" t="s">
        <v>39</v>
      </c>
    </row>
    <row r="7" spans="1:18" x14ac:dyDescent="0.3">
      <c r="B7" s="9">
        <v>4</v>
      </c>
      <c r="C7" s="12">
        <v>99</v>
      </c>
      <c r="D7" s="12"/>
    </row>
    <row r="8" spans="1:18" x14ac:dyDescent="0.3">
      <c r="B8" s="9"/>
      <c r="C8" s="9" t="s">
        <v>30</v>
      </c>
      <c r="D8" s="12">
        <f>SUM(C4:C7)</f>
        <v>396</v>
      </c>
    </row>
    <row r="10" spans="1:18" ht="14.4" customHeight="1" x14ac:dyDescent="0.3">
      <c r="J10" s="24" t="s">
        <v>46</v>
      </c>
      <c r="K10" s="24"/>
      <c r="L10" s="24"/>
      <c r="M10" s="24"/>
      <c r="N10" s="24"/>
      <c r="O10" s="24"/>
    </row>
    <row r="11" spans="1:18" x14ac:dyDescent="0.3">
      <c r="A11" t="s">
        <v>28</v>
      </c>
      <c r="B11" s="26" t="s">
        <v>41</v>
      </c>
      <c r="C11" s="26"/>
      <c r="J11" s="24"/>
      <c r="K11" s="24"/>
      <c r="L11" s="24"/>
      <c r="M11" s="24"/>
      <c r="N11" s="24"/>
      <c r="O11" s="24"/>
    </row>
    <row r="12" spans="1:18" x14ac:dyDescent="0.3">
      <c r="B12" s="26"/>
      <c r="C12" s="26"/>
      <c r="J12" s="24"/>
      <c r="K12" s="24"/>
      <c r="L12" s="24"/>
      <c r="M12" s="24"/>
      <c r="N12" s="24"/>
      <c r="O12" s="24"/>
    </row>
    <row r="13" spans="1:18" ht="19.8" customHeight="1" x14ac:dyDescent="0.3">
      <c r="B13" s="8" t="s">
        <v>32</v>
      </c>
      <c r="C13" s="8" t="s">
        <v>27</v>
      </c>
      <c r="D13" s="15" t="s">
        <v>33</v>
      </c>
      <c r="J13" s="24"/>
      <c r="K13" s="24"/>
      <c r="L13" s="24"/>
      <c r="M13" s="24"/>
      <c r="N13" s="24"/>
      <c r="O13" s="24"/>
      <c r="P13" s="25" t="s">
        <v>52</v>
      </c>
      <c r="Q13" s="25"/>
      <c r="R13" s="25"/>
    </row>
    <row r="14" spans="1:18" ht="14.4" customHeight="1" x14ac:dyDescent="0.3">
      <c r="B14" s="12">
        <v>999</v>
      </c>
      <c r="C14" s="12"/>
      <c r="D14" s="27" t="s">
        <v>43</v>
      </c>
      <c r="J14" s="24"/>
      <c r="K14" s="24"/>
      <c r="L14" s="24"/>
      <c r="M14" s="24"/>
      <c r="N14" s="24"/>
      <c r="O14" s="24"/>
    </row>
    <row r="15" spans="1:18" x14ac:dyDescent="0.3">
      <c r="B15" s="9" t="s">
        <v>30</v>
      </c>
      <c r="C15" s="12">
        <f>SUM(B14:B14)</f>
        <v>999</v>
      </c>
      <c r="D15" s="27"/>
      <c r="J15" s="24"/>
      <c r="K15" s="24"/>
      <c r="L15" s="24"/>
      <c r="M15" s="24"/>
      <c r="N15" s="24"/>
      <c r="O15" s="24"/>
    </row>
    <row r="16" spans="1:18" x14ac:dyDescent="0.3">
      <c r="D16" s="27"/>
      <c r="J16" s="24"/>
      <c r="K16" s="24"/>
      <c r="L16" s="24"/>
      <c r="M16" s="24"/>
      <c r="N16" s="24"/>
      <c r="O16" s="24"/>
    </row>
    <row r="17" spans="1:15" x14ac:dyDescent="0.3">
      <c r="J17" s="24"/>
      <c r="K17" s="24"/>
      <c r="L17" s="24"/>
      <c r="M17" s="24"/>
      <c r="N17" s="24"/>
      <c r="O17" s="24"/>
    </row>
    <row r="19" spans="1:15" x14ac:dyDescent="0.3">
      <c r="A19" t="s">
        <v>28</v>
      </c>
      <c r="B19" s="16" t="s">
        <v>44</v>
      </c>
      <c r="C19" s="16"/>
      <c r="D19" t="s">
        <v>40</v>
      </c>
    </row>
    <row r="20" spans="1:15" x14ac:dyDescent="0.3">
      <c r="B20" s="16"/>
      <c r="C20" s="16"/>
      <c r="D20" t="s">
        <v>42</v>
      </c>
    </row>
    <row r="21" spans="1:15" ht="28.8" customHeight="1" x14ac:dyDescent="0.3">
      <c r="B21" s="8" t="s">
        <v>32</v>
      </c>
      <c r="C21" s="8" t="s">
        <v>27</v>
      </c>
      <c r="D21" s="15" t="s">
        <v>33</v>
      </c>
    </row>
    <row r="22" spans="1:15" ht="14.4" customHeight="1" x14ac:dyDescent="0.3">
      <c r="B22" s="12">
        <v>888</v>
      </c>
      <c r="C22" s="12"/>
      <c r="D22" s="27" t="s">
        <v>45</v>
      </c>
    </row>
    <row r="23" spans="1:15" x14ac:dyDescent="0.3">
      <c r="B23" s="9" t="s">
        <v>30</v>
      </c>
      <c r="C23" s="12">
        <f>SUM(B22:B22)</f>
        <v>888</v>
      </c>
      <c r="D23" s="27"/>
    </row>
    <row r="24" spans="1:15" x14ac:dyDescent="0.3">
      <c r="D24" s="27"/>
    </row>
    <row r="28" spans="1:15" x14ac:dyDescent="0.3">
      <c r="B28" s="8" t="s">
        <v>49</v>
      </c>
      <c r="C28" s="8" t="s">
        <v>54</v>
      </c>
      <c r="D28" s="8" t="s">
        <v>47</v>
      </c>
    </row>
    <row r="29" spans="1:15" x14ac:dyDescent="0.3">
      <c r="B29" s="12" t="s">
        <v>51</v>
      </c>
      <c r="C29" s="9">
        <v>100</v>
      </c>
      <c r="D29" s="12">
        <v>999</v>
      </c>
      <c r="F29" t="s">
        <v>5</v>
      </c>
      <c r="G29" s="11">
        <f>(1000*24) + D8*(24)</f>
        <v>33504</v>
      </c>
    </row>
    <row r="30" spans="1:15" x14ac:dyDescent="0.3">
      <c r="B30" s="12" t="s">
        <v>55</v>
      </c>
      <c r="C30" s="9">
        <v>100</v>
      </c>
      <c r="D30" s="12">
        <v>1000</v>
      </c>
      <c r="F30" t="s">
        <v>31</v>
      </c>
      <c r="G30" s="11">
        <f>D34*(24-3)+745*(3)</f>
        <v>33525</v>
      </c>
    </row>
    <row r="31" spans="1:15" x14ac:dyDescent="0.3">
      <c r="B31" s="12" t="s">
        <v>53</v>
      </c>
      <c r="C31" s="9">
        <v>100</v>
      </c>
      <c r="D31" s="12">
        <v>1250</v>
      </c>
    </row>
    <row r="32" spans="1:15" x14ac:dyDescent="0.3">
      <c r="B32" s="12" t="s">
        <v>48</v>
      </c>
      <c r="C32" s="9">
        <v>100</v>
      </c>
      <c r="D32" s="12">
        <v>1299</v>
      </c>
    </row>
    <row r="33" spans="2:4" x14ac:dyDescent="0.3">
      <c r="B33" s="9" t="s">
        <v>50</v>
      </c>
      <c r="C33" s="9">
        <v>300</v>
      </c>
      <c r="D33" s="12">
        <v>1499</v>
      </c>
    </row>
    <row r="34" spans="2:4" x14ac:dyDescent="0.3">
      <c r="B34" s="12" t="s">
        <v>31</v>
      </c>
      <c r="C34" s="9">
        <v>500</v>
      </c>
      <c r="D34" s="12">
        <v>1490</v>
      </c>
    </row>
  </sheetData>
  <mergeCells count="6">
    <mergeCell ref="J10:O17"/>
    <mergeCell ref="P13:R13"/>
    <mergeCell ref="B1:C2"/>
    <mergeCell ref="B11:C12"/>
    <mergeCell ref="D22:D24"/>
    <mergeCell ref="D14:D16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5EDB4-8225-47AC-84F9-4F27627E193F}">
  <dimension ref="B2:H23"/>
  <sheetViews>
    <sheetView workbookViewId="0">
      <selection activeCell="F18" sqref="F18"/>
    </sheetView>
  </sheetViews>
  <sheetFormatPr defaultRowHeight="14.4" x14ac:dyDescent="0.3"/>
  <cols>
    <col min="2" max="2" width="27.5546875" customWidth="1"/>
    <col min="3" max="3" width="19.77734375" customWidth="1"/>
    <col min="4" max="4" width="11.44140625" bestFit="1" customWidth="1"/>
    <col min="5" max="5" width="12.44140625" bestFit="1" customWidth="1"/>
    <col min="6" max="6" width="14.5546875" bestFit="1" customWidth="1"/>
    <col min="7" max="7" width="17.44140625" bestFit="1" customWidth="1"/>
    <col min="8" max="8" width="14.44140625" bestFit="1" customWidth="1"/>
  </cols>
  <sheetData>
    <row r="2" spans="2:8" x14ac:dyDescent="0.3">
      <c r="B2" t="s">
        <v>74</v>
      </c>
    </row>
    <row r="3" spans="2:8" x14ac:dyDescent="0.3">
      <c r="B3" t="s">
        <v>56</v>
      </c>
      <c r="C3" t="s">
        <v>57</v>
      </c>
      <c r="D3" t="s">
        <v>58</v>
      </c>
      <c r="E3" t="s">
        <v>59</v>
      </c>
      <c r="F3" t="s">
        <v>63</v>
      </c>
      <c r="G3" t="s">
        <v>64</v>
      </c>
      <c r="H3" t="s">
        <v>65</v>
      </c>
    </row>
    <row r="4" spans="2:8" x14ac:dyDescent="0.3">
      <c r="B4" s="1" t="s">
        <v>60</v>
      </c>
      <c r="C4" t="s">
        <v>61</v>
      </c>
      <c r="D4" t="s">
        <v>62</v>
      </c>
      <c r="E4" s="19">
        <v>18000</v>
      </c>
      <c r="F4" s="19">
        <f>Table7[[#This Row],[COST]]/12</f>
        <v>1500</v>
      </c>
      <c r="G4" s="19">
        <f>Table7[[#This Row],[MONTHLY COST]]</f>
        <v>1500</v>
      </c>
      <c r="H4" s="19">
        <f>Table7[[#This Row],[TOTAL PER MONTH]]/2</f>
        <v>750</v>
      </c>
    </row>
    <row r="5" spans="2:8" x14ac:dyDescent="0.3">
      <c r="B5" t="s">
        <v>67</v>
      </c>
      <c r="C5" t="s">
        <v>66</v>
      </c>
      <c r="D5" t="s">
        <v>62</v>
      </c>
      <c r="E5" s="19">
        <v>250000</v>
      </c>
      <c r="F5" s="19"/>
      <c r="G5" s="19"/>
      <c r="H5" s="19"/>
    </row>
    <row r="6" spans="2:8" x14ac:dyDescent="0.3">
      <c r="B6" s="1" t="s">
        <v>68</v>
      </c>
      <c r="C6" t="s">
        <v>69</v>
      </c>
      <c r="D6" t="s">
        <v>47</v>
      </c>
      <c r="E6" s="19">
        <v>2000</v>
      </c>
      <c r="F6" s="19">
        <f>Table7[[#This Row],[COST]]</f>
        <v>2000</v>
      </c>
      <c r="G6" s="19">
        <f>Table7[[#This Row],[MONTHLY COST]]</f>
        <v>2000</v>
      </c>
      <c r="H6" s="19">
        <v>0</v>
      </c>
    </row>
    <row r="7" spans="2:8" x14ac:dyDescent="0.3">
      <c r="B7" t="s">
        <v>82</v>
      </c>
      <c r="C7" t="s">
        <v>70</v>
      </c>
      <c r="D7" t="s">
        <v>71</v>
      </c>
      <c r="E7" s="19">
        <v>150</v>
      </c>
      <c r="F7" s="19"/>
      <c r="G7" s="19"/>
      <c r="H7" s="19"/>
    </row>
    <row r="8" spans="2:8" x14ac:dyDescent="0.3">
      <c r="B8" s="1" t="s">
        <v>72</v>
      </c>
      <c r="C8" t="s">
        <v>73</v>
      </c>
      <c r="D8" t="s">
        <v>71</v>
      </c>
      <c r="E8" s="19">
        <v>350</v>
      </c>
      <c r="F8" s="19">
        <f>12*Table7[[#This Row],[COST]]</f>
        <v>4200</v>
      </c>
      <c r="G8" s="19">
        <f>Table7[[#This Row],[MONTHLY COST]]</f>
        <v>4200</v>
      </c>
      <c r="H8" s="19"/>
    </row>
    <row r="10" spans="2:8" x14ac:dyDescent="0.3">
      <c r="G10" s="19">
        <f>SUM(Table7[TOTAL PER MONTH])</f>
        <v>7700</v>
      </c>
    </row>
    <row r="13" spans="2:8" ht="15" thickBot="1" x14ac:dyDescent="0.35">
      <c r="B13" t="s">
        <v>75</v>
      </c>
    </row>
    <row r="14" spans="2:8" ht="15" thickBot="1" x14ac:dyDescent="0.35">
      <c r="B14" s="2" t="s">
        <v>56</v>
      </c>
      <c r="C14" s="2" t="s">
        <v>57</v>
      </c>
      <c r="D14" s="2" t="s">
        <v>59</v>
      </c>
    </row>
    <row r="15" spans="2:8" x14ac:dyDescent="0.3">
      <c r="B15" s="3" t="s">
        <v>76</v>
      </c>
      <c r="C15" s="22">
        <v>0.05</v>
      </c>
      <c r="D15" s="20">
        <f>Main!$B$2*0.05</f>
        <v>1750</v>
      </c>
    </row>
    <row r="16" spans="2:8" x14ac:dyDescent="0.3">
      <c r="B16" s="4" t="s">
        <v>78</v>
      </c>
      <c r="C16" s="22">
        <v>0.05</v>
      </c>
      <c r="D16" s="20">
        <v>450</v>
      </c>
    </row>
    <row r="17" spans="2:7" x14ac:dyDescent="0.3">
      <c r="B17" s="3" t="s">
        <v>77</v>
      </c>
      <c r="C17" s="22">
        <v>0.02</v>
      </c>
      <c r="D17" s="20">
        <v>200</v>
      </c>
    </row>
    <row r="18" spans="2:7" x14ac:dyDescent="0.3">
      <c r="B18" s="4" t="s">
        <v>79</v>
      </c>
      <c r="C18" s="4" t="s">
        <v>80</v>
      </c>
      <c r="D18" s="21">
        <v>4500</v>
      </c>
      <c r="F18">
        <v>28000</v>
      </c>
      <c r="G18">
        <f>17500</f>
        <v>17500</v>
      </c>
    </row>
    <row r="19" spans="2:7" x14ac:dyDescent="0.3">
      <c r="C19" t="s">
        <v>8</v>
      </c>
      <c r="D19" s="19">
        <f>SUM(D15:D18)</f>
        <v>6900</v>
      </c>
      <c r="F19">
        <f>F18*0.15</f>
        <v>4200</v>
      </c>
      <c r="G19">
        <f>G18*2</f>
        <v>35000</v>
      </c>
    </row>
    <row r="21" spans="2:7" ht="15" thickBot="1" x14ac:dyDescent="0.35"/>
    <row r="22" spans="2:7" ht="15" thickBot="1" x14ac:dyDescent="0.35">
      <c r="B22" s="2" t="s">
        <v>81</v>
      </c>
    </row>
    <row r="23" spans="2:7" x14ac:dyDescent="0.3">
      <c r="B23" s="20">
        <f>G10-D19</f>
        <v>800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2B58-3561-4F69-B690-D4EC65E28CDD}">
  <dimension ref="D4:M17"/>
  <sheetViews>
    <sheetView topLeftCell="C4" zoomScaleNormal="100" workbookViewId="0">
      <selection activeCell="I17" sqref="I17"/>
    </sheetView>
  </sheetViews>
  <sheetFormatPr defaultRowHeight="14.4" x14ac:dyDescent="0.3"/>
  <cols>
    <col min="4" max="4" width="22.77734375" bestFit="1" customWidth="1"/>
    <col min="5" max="5" width="6" bestFit="1" customWidth="1"/>
    <col min="6" max="6" width="34.33203125" customWidth="1"/>
    <col min="7" max="7" width="27.5546875" customWidth="1"/>
    <col min="8" max="8" width="26.88671875" customWidth="1"/>
    <col min="9" max="9" width="25.33203125" customWidth="1"/>
  </cols>
  <sheetData>
    <row r="4" spans="4:13" ht="43.2" x14ac:dyDescent="0.3">
      <c r="D4" s="8" t="s">
        <v>15</v>
      </c>
      <c r="E4" s="8" t="s">
        <v>16</v>
      </c>
      <c r="F4" s="8" t="s">
        <v>20</v>
      </c>
      <c r="G4" s="8" t="s">
        <v>21</v>
      </c>
      <c r="H4" s="8" t="s">
        <v>22</v>
      </c>
      <c r="I4" s="8" t="s">
        <v>23</v>
      </c>
    </row>
    <row r="5" spans="4:13" x14ac:dyDescent="0.3">
      <c r="D5" s="9">
        <v>1</v>
      </c>
      <c r="E5" s="9" t="s">
        <v>17</v>
      </c>
      <c r="F5" s="9" t="s">
        <v>24</v>
      </c>
      <c r="G5" s="12"/>
      <c r="H5" s="12">
        <f>155</f>
        <v>155</v>
      </c>
      <c r="I5" s="12">
        <f>SUM(H5:H7)</f>
        <v>465</v>
      </c>
      <c r="L5">
        <f>180+130</f>
        <v>310</v>
      </c>
      <c r="M5">
        <f>L5/2</f>
        <v>155</v>
      </c>
    </row>
    <row r="6" spans="4:13" x14ac:dyDescent="0.3">
      <c r="D6" s="9"/>
      <c r="E6" s="9" t="s">
        <v>18</v>
      </c>
      <c r="F6" s="9" t="s">
        <v>24</v>
      </c>
      <c r="G6" s="12">
        <v>120</v>
      </c>
      <c r="H6" s="12">
        <f>155</f>
        <v>155</v>
      </c>
      <c r="I6" s="9"/>
    </row>
    <row r="7" spans="4:13" x14ac:dyDescent="0.3">
      <c r="D7" s="9"/>
      <c r="E7" s="9" t="s">
        <v>83</v>
      </c>
      <c r="F7" s="9" t="s">
        <v>24</v>
      </c>
      <c r="G7" s="12">
        <v>120</v>
      </c>
      <c r="H7" s="12">
        <f>155</f>
        <v>155</v>
      </c>
      <c r="I7" s="12"/>
    </row>
    <row r="8" spans="4:13" x14ac:dyDescent="0.3">
      <c r="D8" s="9">
        <v>2</v>
      </c>
      <c r="E8" s="9" t="s">
        <v>17</v>
      </c>
      <c r="F8" s="9" t="s">
        <v>24</v>
      </c>
      <c r="G8" s="12"/>
      <c r="H8" s="12">
        <f>155</f>
        <v>155</v>
      </c>
      <c r="I8" s="12">
        <f>SUM(H8:H10)</f>
        <v>465</v>
      </c>
    </row>
    <row r="9" spans="4:13" x14ac:dyDescent="0.3">
      <c r="D9" s="9"/>
      <c r="E9" s="9" t="s">
        <v>18</v>
      </c>
      <c r="F9" s="9" t="s">
        <v>24</v>
      </c>
      <c r="G9" s="12">
        <v>120</v>
      </c>
      <c r="H9" s="12">
        <f>155</f>
        <v>155</v>
      </c>
      <c r="I9" s="9"/>
    </row>
    <row r="10" spans="4:13" x14ac:dyDescent="0.3">
      <c r="D10" s="9"/>
      <c r="E10" s="9" t="s">
        <v>83</v>
      </c>
      <c r="F10" s="9" t="s">
        <v>24</v>
      </c>
      <c r="G10" s="12">
        <v>120</v>
      </c>
      <c r="H10" s="12">
        <f>155</f>
        <v>155</v>
      </c>
      <c r="I10" s="12"/>
    </row>
    <row r="11" spans="4:13" x14ac:dyDescent="0.3">
      <c r="D11" s="9">
        <v>3</v>
      </c>
      <c r="E11" s="9" t="s">
        <v>17</v>
      </c>
      <c r="F11" s="9" t="s">
        <v>24</v>
      </c>
      <c r="G11" s="12"/>
      <c r="H11" s="12">
        <f>155</f>
        <v>155</v>
      </c>
      <c r="I11" s="12">
        <f>SUM(H11:H13)</f>
        <v>465</v>
      </c>
    </row>
    <row r="12" spans="4:13" x14ac:dyDescent="0.3">
      <c r="D12" s="9"/>
      <c r="E12" s="9" t="s">
        <v>18</v>
      </c>
      <c r="F12" s="9" t="s">
        <v>24</v>
      </c>
      <c r="G12" s="12">
        <v>120</v>
      </c>
      <c r="H12" s="12">
        <f>155</f>
        <v>155</v>
      </c>
      <c r="I12" s="9"/>
    </row>
    <row r="13" spans="4:13" x14ac:dyDescent="0.3">
      <c r="D13" s="9"/>
      <c r="E13" s="9" t="s">
        <v>83</v>
      </c>
      <c r="F13" s="9" t="s">
        <v>24</v>
      </c>
      <c r="G13" s="12">
        <v>120</v>
      </c>
      <c r="H13" s="12">
        <f>155</f>
        <v>155</v>
      </c>
      <c r="I13" s="12"/>
    </row>
    <row r="14" spans="4:13" x14ac:dyDescent="0.3">
      <c r="D14" s="9">
        <v>4</v>
      </c>
      <c r="E14" s="9" t="s">
        <v>17</v>
      </c>
      <c r="F14" s="9" t="s">
        <v>24</v>
      </c>
      <c r="G14" s="12"/>
      <c r="H14" s="12">
        <f>155</f>
        <v>155</v>
      </c>
      <c r="I14" s="12">
        <f>SUM(H14:H16)</f>
        <v>465</v>
      </c>
    </row>
    <row r="15" spans="4:13" x14ac:dyDescent="0.3">
      <c r="D15" s="9"/>
      <c r="E15" s="9" t="s">
        <v>18</v>
      </c>
      <c r="F15" s="9" t="s">
        <v>24</v>
      </c>
      <c r="G15" s="12">
        <v>120</v>
      </c>
      <c r="H15" s="12">
        <f>155</f>
        <v>155</v>
      </c>
      <c r="I15" s="9"/>
    </row>
    <row r="16" spans="4:13" x14ac:dyDescent="0.3">
      <c r="D16" s="9"/>
      <c r="E16" s="9" t="s">
        <v>83</v>
      </c>
      <c r="F16" s="9" t="s">
        <v>24</v>
      </c>
      <c r="G16" s="12">
        <v>120</v>
      </c>
      <c r="H16" s="12">
        <f>155</f>
        <v>155</v>
      </c>
      <c r="I16" s="12"/>
    </row>
    <row r="17" spans="4:9" x14ac:dyDescent="0.3">
      <c r="D17" s="10" t="s">
        <v>19</v>
      </c>
      <c r="E17" s="9"/>
      <c r="F17" s="9"/>
      <c r="G17" s="12">
        <f>SUM(G5:G16)</f>
        <v>960</v>
      </c>
      <c r="H17" s="13">
        <f>SUM(H5:H16)</f>
        <v>1860</v>
      </c>
      <c r="I17" s="12">
        <f>SUM(Table212[[#This Row],[One-way Cost]:[Back &amp; Forth Cost]])</f>
        <v>2820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Utility</vt:lpstr>
      <vt:lpstr>Transpo</vt:lpstr>
      <vt:lpstr>WIFI</vt:lpstr>
      <vt:lpstr>Benefits</vt:lpstr>
      <vt:lpstr>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 Aneth Rosales</dc:creator>
  <cp:lastModifiedBy>Frances Aneth Rosales</cp:lastModifiedBy>
  <dcterms:created xsi:type="dcterms:W3CDTF">2025-08-13T12:01:12Z</dcterms:created>
  <dcterms:modified xsi:type="dcterms:W3CDTF">2025-09-25T17:22:46Z</dcterms:modified>
</cp:coreProperties>
</file>